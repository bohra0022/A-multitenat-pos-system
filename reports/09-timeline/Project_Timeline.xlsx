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Frontend work log" sheetId="2" state="visible" r:id="rId4"/>
    <sheet name="Done so far" sheetId="3" state="visible" r:id="rId5"/>
    <sheet name="Marks 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<sst xmlns="http://schemas.openxmlformats.org/spreadsheetml/2006/main" count="255" uniqueCount="164">
  <si>
    <t xml:space="preserve">POS System: 10-week project timeline</t>
  </si>
  <si>
    <t xml:space="preserve">Project start (Monday of week 1)</t>
  </si>
  <si>
    <t xml:space="preserve">Plan start date. Change it and every week updates.</t>
  </si>
  <si>
    <t xml:space="preserve">Week</t>
  </si>
  <si>
    <t xml:space="preserve">Starts</t>
  </si>
  <si>
    <t xml:space="preserve">Ends</t>
  </si>
  <si>
    <t xml:space="preserve">Focus</t>
  </si>
  <si>
    <t xml:space="preserve">Owners</t>
  </si>
  <si>
    <t xml:space="preserve">Tasks</t>
  </si>
  <si>
    <t xml:space="preserve">Marks component</t>
  </si>
  <si>
    <t xml:space="preserve">Status</t>
  </si>
  <si>
    <t xml:space="preserve">Evidence</t>
  </si>
  <si>
    <t xml:space="preserve">Setup and roles</t>
  </si>
  <si>
    <t xml:space="preserve">Subhash, Vrushay</t>
  </si>
  <si>
    <t xml:space="preserve">Team repo and report folders, backend upload, role and module allocation, frontend folder structure, GitHub training, idea and abstract.</t>
  </si>
  <si>
    <t xml:space="preserve">Idea &amp; Abstract, Weekly Progress, Implementation</t>
  </si>
  <si>
    <t xml:space="preserve">Done</t>
  </si>
  <si>
    <t xml:space="preserve">13dc390, 4584088, 80c721c, ef6144e, ddf392b, 751e82d</t>
  </si>
  <si>
    <t xml:space="preserve">Design and Redux split</t>
  </si>
  <si>
    <t xml:space="preserve">Vrushay, Subhash</t>
  </si>
  <si>
    <t xml:space="preserve">UML and ER diagrams (done), Redux Toolkit split: part 1 by Vrushay (done), part 2 and globleState.js by Subhash (in progress).</t>
  </si>
  <si>
    <t xml:space="preserve">Design, Implementation</t>
  </si>
  <si>
    <t xml:space="preserve">In progress</t>
  </si>
  <si>
    <t xml:space="preserve">11645a2, dbcae3a, 7ab1196 to 9809d35</t>
  </si>
  <si>
    <t xml:space="preserve">Super Admin and onboarding</t>
  </si>
  <si>
    <t xml:space="preserve">Vrushay (Super Admin), Tanya (onboarding)</t>
  </si>
  <si>
    <t xml:space="preserve">Super Admin pages: dashboard, stores, store details, pending requests, subscription plans, settings. Login, forgot password and onboarding.</t>
  </si>
  <si>
    <t xml:space="preserve">Implementation</t>
  </si>
  <si>
    <t xml:space="preserve">26 Super Admin commits, 7307504 (onboarding owner details)</t>
  </si>
  <si>
    <t xml:space="preserve">Store module</t>
  </si>
  <si>
    <t xml:space="preserve">Tanya</t>
  </si>
  <si>
    <t xml:space="preserve">Store pages (11): dashboard, branches, categories, employees, products, stores, sales, reports, upgrade, settings, alerts.</t>
  </si>
  <si>
    <t xml:space="preserve">Branch Manager and Cashier</t>
  </si>
  <si>
    <t xml:space="preserve">Vishvas (Branch Manager), Vimal (Cashier)</t>
  </si>
  <si>
    <t xml:space="preserve">Branch Manager pages (9) and Cashier pages (5): POS screen, returns, order history, customer lookup, shift summary.</t>
  </si>
  <si>
    <t xml:space="preserve">3197520, bb95311, db9c60b, 3d1187e, deff443, 655d718, 2d48633, 7974ef5, 7faddd4, 76a311a</t>
  </si>
  <si>
    <t xml:space="preserve">Testing</t>
  </si>
  <si>
    <t xml:space="preserve">Vrushay with the whole team</t>
  </si>
  <si>
    <t xml:space="preserve">Postman report and 96-case sheet done. Run the collection with all role tokens, record results, negative and security tests, bug fixes.</t>
  </si>
  <si>
    <t xml:space="preserve">9e2ca1a, 8172cb7 (report), test case sheet</t>
  </si>
  <si>
    <t xml:space="preserve">Payments and integration</t>
  </si>
  <si>
    <t xml:space="preserve">Team</t>
  </si>
  <si>
    <t xml:space="preserve">Razorpay and Stripe checkout, subscription upgrade, payment status, email receipts, API integration.</t>
  </si>
  <si>
    <t xml:space="preserve">Planned</t>
  </si>
  <si>
    <t xml:space="preserve">Code quality, SRS and documentation</t>
  </si>
  <si>
    <t xml:space="preserve">SRS in IEEE format, Axios interceptor, logout fix, API URL in env file, remove console logs, fix security findings, update README.</t>
  </si>
  <si>
    <t xml:space="preserve">Implementation &amp; Code Quality</t>
  </si>
  <si>
    <t xml:space="preserve">Presentation and viva prep</t>
  </si>
  <si>
    <t xml:space="preserve">Report PPT, demo script, viva questions, final documents.</t>
  </si>
  <si>
    <t xml:space="preserve">Presentation, Demo &amp; Viva</t>
  </si>
  <si>
    <t xml:space="preserve">Final demo and submission</t>
  </si>
  <si>
    <t xml:space="preserve">Full demo run, final checks, final commit log, submission.</t>
  </si>
  <si>
    <t xml:space="preserve">Demo &amp; Viva, Weekly Progress</t>
  </si>
  <si>
    <t xml:space="preserve">Done weeks</t>
  </si>
  <si>
    <t xml:space="preserve">Frontend work log: who built which module</t>
  </si>
  <si>
    <t xml:space="preserve">Member</t>
  </si>
  <si>
    <t xml:space="preserve">GitHub</t>
  </si>
  <si>
    <t xml:space="preserve">Module</t>
  </si>
  <si>
    <t xml:space="preserve">Pages</t>
  </si>
  <si>
    <t xml:space="preserve">Known commits (to 10 Oct)</t>
  </si>
  <si>
    <t xml:space="preserve">Vrushay Bohra</t>
  </si>
  <si>
    <t xml:space="preserve">bohra0022</t>
  </si>
  <si>
    <t xml:space="preserve">Redux Toolkit part 1, frontend setup, Super Admin, routing</t>
  </si>
  <si>
    <t xml:space="preserve">11 Redux features, API client, utils, 6 Super Admin pages</t>
  </si>
  <si>
    <t xml:space="preserve">45 frontend commits: Super Admin 26, Redux Toolkit 12, Setup 6, Routing 1</t>
  </si>
  <si>
    <t xml:space="preserve">Subhash Dhaka</t>
  </si>
  <si>
    <t xml:space="preserve">subhash8729</t>
  </si>
  <si>
    <t xml:space="preserve">Folder structure, Redux Toolkit part 2</t>
  </si>
  <si>
    <t xml:space="preserve">Redux: payment, product, refund, sale, shiftReport, store, storeAnalytics, subscription, subscriptionPlan, transaction, user, globleState.js</t>
  </si>
  <si>
    <t xml:space="preserve">3 frontend commits: Redux Toolkit 1, Setup 2</t>
  </si>
  <si>
    <t xml:space="preserve">Vimal Kumar</t>
  </si>
  <si>
    <t xml:space="preserve">iamvkb7</t>
  </si>
  <si>
    <t xml:space="preserve">Cashier</t>
  </si>
  <si>
    <t xml:space="preserve">5 pages: create order, orders, returns, customers, shift summary</t>
  </si>
  <si>
    <t xml:space="preserve">40 frontend commits</t>
  </si>
  <si>
    <t xml:space="preserve">Vishvas Choubisa</t>
  </si>
  <si>
    <t xml:space="preserve">choubisavishvas-web</t>
  </si>
  <si>
    <t xml:space="preserve">Branch Manager</t>
  </si>
  <si>
    <t xml:space="preserve">9 pages: dashboard, orders, refunds, transactions, inventory, employees, customers, reports, settings</t>
  </si>
  <si>
    <t xml:space="preserve">35 frontend commits</t>
  </si>
  <si>
    <t xml:space="preserve">Tanya Singh</t>
  </si>
  <si>
    <t xml:space="preserve">tanyasingh077</t>
  </si>
  <si>
    <t xml:space="preserve">Store (largest module) and onboarding</t>
  </si>
  <si>
    <t xml:space="preserve">11 pages: dashboard, branches, categories, employees, products, stores, sales, reports, upgrade, settings, alerts</t>
  </si>
  <si>
    <t xml:space="preserve">11 frontend commits: Store 8, Auth and onboarding 3</t>
  </si>
  <si>
    <t xml:space="preserve">Total pages across modules</t>
  </si>
  <si>
    <t xml:space="preserve">Frontend commits by member and module (from Git, 10 Oct 2026)</t>
  </si>
  <si>
    <t xml:space="preserve">Frontend commits</t>
  </si>
  <si>
    <t xml:space="preserve">Super Admin</t>
  </si>
  <si>
    <t xml:space="preserve">Redux Toolkit</t>
  </si>
  <si>
    <t xml:space="preserve">Setup and shared</t>
  </si>
  <si>
    <t xml:space="preserve">Routing</t>
  </si>
  <si>
    <t xml:space="preserve">Store</t>
  </si>
  <si>
    <t xml:space="preserve">Auth and onboarding</t>
  </si>
  <si>
    <t xml:space="preserve">Total</t>
  </si>
  <si>
    <t xml:space="preserve">Run reports/04-weekly-progress/make_commit_log.py for the latest numbers.</t>
  </si>
  <si>
    <t xml:space="preserve">Work completed so far</t>
  </si>
  <si>
    <t xml:space="preserve">#</t>
  </si>
  <si>
    <t xml:space="preserve">Item</t>
  </si>
  <si>
    <t xml:space="preserve">Team repo and report folders set up</t>
  </si>
  <si>
    <t xml:space="preserve">Weekly Progress</t>
  </si>
  <si>
    <t xml:space="preserve">80c721c, 4584088</t>
  </si>
  <si>
    <t xml:space="preserve">Full Spring Boot backend uploaded</t>
  </si>
  <si>
    <t xml:space="preserve">ef6144e</t>
  </si>
  <si>
    <t xml:space="preserve">Project idea, abstract and objectives</t>
  </si>
  <si>
    <t xml:space="preserve">Idea &amp; Abstract</t>
  </si>
  <si>
    <t xml:space="preserve">see commit_log.csv</t>
  </si>
  <si>
    <t xml:space="preserve">Features, modules and tech stack</t>
  </si>
  <si>
    <t xml:space="preserve">SRS / Documentation</t>
  </si>
  <si>
    <t xml:space="preserve">13dc390</t>
  </si>
  <si>
    <t xml:space="preserve">Frontend folder structure (Subhash)</t>
  </si>
  <si>
    <t xml:space="preserve">ddf392b, 751e82d</t>
  </si>
  <si>
    <t xml:space="preserve">Frontend config, API client and utils (Vrushay)</t>
  </si>
  <si>
    <t xml:space="preserve">dbcae3a</t>
  </si>
  <si>
    <t xml:space="preserve">Redux Toolkit part 1, 11 features (Vrushay)</t>
  </si>
  <si>
    <t xml:space="preserve">7ab1196 to 9809d35</t>
  </si>
  <si>
    <t xml:space="preserve">Commit log updates</t>
  </si>
  <si>
    <t xml:space="preserve">046f470, 67e0b4c, 8360f7e</t>
  </si>
  <si>
    <t xml:space="preserve">UML, ER and architecture diagrams (20)</t>
  </si>
  <si>
    <t xml:space="preserve">Design</t>
  </si>
  <si>
    <t xml:space="preserve">11645a2</t>
  </si>
  <si>
    <t xml:space="preserve">Postman testing report, 2 parts</t>
  </si>
  <si>
    <t xml:space="preserve">9e2ca1a, 8172cb7</t>
  </si>
  <si>
    <t xml:space="preserve">README with weekly plan</t>
  </si>
  <si>
    <t xml:space="preserve">b0ebffe, cdd3a24, b4bee2d</t>
  </si>
  <si>
    <t xml:space="preserve">10-week timeline and tracker</t>
  </si>
  <si>
    <t xml:space="preserve">75398a4, 28069ac, 65daf38</t>
  </si>
  <si>
    <t xml:space="preserve">Week 1 report and weekly template</t>
  </si>
  <si>
    <t xml:space="preserve">4430a3c, 7ce4830</t>
  </si>
  <si>
    <t xml:space="preserve">API test case sheet (96 cases)</t>
  </si>
  <si>
    <t xml:space="preserve">POS_Backend_Test_Cases.xlsx</t>
  </si>
  <si>
    <t xml:space="preserve">Made, not committed</t>
  </si>
  <si>
    <t xml:space="preserve">Branch Manager module (Vishvas)</t>
  </si>
  <si>
    <t xml:space="preserve">3197520, bb95311, db9c60b</t>
  </si>
  <si>
    <t xml:space="preserve">Cashier module (Vimal)</t>
  </si>
  <si>
    <t xml:space="preserve">3d1187e, deff443, 655d718, 2d48633, 7974ef5, 7faddd4, 76a311a</t>
  </si>
  <si>
    <t xml:space="preserve">Store module and onboarding (Tanya)</t>
  </si>
  <si>
    <t xml:space="preserve">7307504</t>
  </si>
  <si>
    <t xml:space="preserve">Super Admin module (Vrushay)</t>
  </si>
  <si>
    <t xml:space="preserve">26 commits, see frontend_work_log.csv</t>
  </si>
  <si>
    <t xml:space="preserve">Redux Toolkit part 2 and globleState.js (Subhash)</t>
  </si>
  <si>
    <t xml:space="preserve">1 commit so far</t>
  </si>
  <si>
    <t xml:space="preserve">Run the Postman collection and record results</t>
  </si>
  <si>
    <t xml:space="preserve">test case sheet</t>
  </si>
  <si>
    <t xml:space="preserve">Pending</t>
  </si>
  <si>
    <t xml:space="preserve">Progress by marks component</t>
  </si>
  <si>
    <t xml:space="preserve">Component</t>
  </si>
  <si>
    <t xml:space="preserve">Marks</t>
  </si>
  <si>
    <t xml:space="preserve">Notes</t>
  </si>
  <si>
    <t xml:space="preserve">Committed in reports.</t>
  </si>
  <si>
    <t xml:space="preserve">Not started</t>
  </si>
  <si>
    <t xml:space="preserve">IEEE format SRS still to be written.</t>
  </si>
  <si>
    <t xml:space="preserve">Design (Use-case, Class, ER)</t>
  </si>
  <si>
    <t xml:space="preserve">20 diagrams committed.</t>
  </si>
  <si>
    <t xml:space="preserve">Weekly Progress (tracking sheet)</t>
  </si>
  <si>
    <t xml:space="preserve">Started</t>
  </si>
  <si>
    <t xml:space="preserve">Commit log, frontend work log, timeline and weekly reports. Update every week.</t>
  </si>
  <si>
    <t xml:space="preserve">Backend and four frontend modules done. Redux part 2 and code quality fixes pending.</t>
  </si>
  <si>
    <t xml:space="preserve">Report and 96 test cases written, results to be recorded.</t>
  </si>
  <si>
    <t xml:space="preserve">Presentation</t>
  </si>
  <si>
    <t xml:space="preserve">Demo &amp; Viva (individual)</t>
  </si>
  <si>
    <t xml:space="preserve">Total marks</t>
  </si>
  <si>
    <t xml:space="preserve">Marks with work started or done</t>
  </si>
  <si>
    <t xml:space="preserve">Share of marks started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</si>
</sst>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&quot;, &quot;dd\ mmm\ yyyy"/>
    <numFmt numFmtId="166" formatCode="dd\ mmm\ yyyy"/>
    <numFmt numFmtId="167" formatCode="General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3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6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4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46209</v>
      </c>
      <c r="C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23.85" hidden="false" customHeight="false" outlineLevel="0" collapsed="false">
      <c r="A6" s="6" t="n">
        <v>1</v>
      </c>
      <c r="B6" s="7" t="n">
        <f aca="false">$B$3+7*(A6-1)</f>
        <v>46209</v>
      </c>
      <c r="C6" s="7" t="n">
        <f aca="false">B6+6</f>
        <v>46215</v>
      </c>
      <c r="D6" s="6" t="s">
        <v>12</v>
      </c>
      <c r="E6" s="6" t="s">
        <v>13</v>
      </c>
      <c r="F6" s="6" t="s">
        <v>14</v>
      </c>
      <c r="G6" s="6" t="s">
        <v>15</v>
      </c>
      <c r="H6" s="8" t="s">
        <v>16</v>
      </c>
      <c r="I6" s="6" t="s">
        <v>17</v>
      </c>
    </row>
    <row r="7" customFormat="false" ht="23.85" hidden="false" customHeight="false" outlineLevel="0" collapsed="false">
      <c r="A7" s="9" t="n">
        <v>2</v>
      </c>
      <c r="B7" s="10" t="n">
        <f aca="false">$B$3+7*(A7-1)</f>
        <v>46216</v>
      </c>
      <c r="C7" s="10" t="n">
        <f aca="false">B7+6</f>
        <v>46222</v>
      </c>
      <c r="D7" s="9" t="s">
        <v>18</v>
      </c>
      <c r="E7" s="9" t="s">
        <v>19</v>
      </c>
      <c r="F7" s="9" t="s">
        <v>20</v>
      </c>
      <c r="G7" s="9" t="s">
        <v>21</v>
      </c>
      <c r="H7" s="11" t="s">
        <v>22</v>
      </c>
      <c r="I7" s="9" t="s">
        <v>23</v>
      </c>
    </row>
    <row r="8" customFormat="false" ht="23.85" hidden="false" customHeight="false" outlineLevel="0" collapsed="false">
      <c r="A8" s="6" t="n">
        <v>3</v>
      </c>
      <c r="B8" s="7" t="n">
        <f aca="false">$B$3+7*(A8-1)</f>
        <v>46223</v>
      </c>
      <c r="C8" s="7" t="n">
        <f aca="false">B8+6</f>
        <v>46229</v>
      </c>
      <c r="D8" s="6" t="s">
        <v>24</v>
      </c>
      <c r="E8" s="6" t="s">
        <v>25</v>
      </c>
      <c r="F8" s="6" t="s">
        <v>26</v>
      </c>
      <c r="G8" s="6" t="s">
        <v>27</v>
      </c>
      <c r="H8" s="8" t="s">
        <v>16</v>
      </c>
      <c r="I8" s="6" t="s">
        <v>28</v>
      </c>
    </row>
    <row r="9" customFormat="false" ht="23.85" hidden="false" customHeight="false" outlineLevel="0" collapsed="false">
      <c r="A9" s="9" t="n">
        <v>4</v>
      </c>
      <c r="B9" s="10" t="n">
        <f aca="false">$B$3+7*(A9-1)</f>
        <v>46230</v>
      </c>
      <c r="C9" s="10" t="n">
        <f aca="false">B9+6</f>
        <v>46236</v>
      </c>
      <c r="D9" s="9" t="s">
        <v>29</v>
      </c>
      <c r="E9" s="9" t="s">
        <v>30</v>
      </c>
      <c r="F9" s="9" t="s">
        <v>31</v>
      </c>
      <c r="G9" s="9" t="s">
        <v>27</v>
      </c>
      <c r="H9" s="11" t="s">
        <v>16</v>
      </c>
      <c r="I9" s="9"/>
    </row>
    <row r="10" customFormat="false" ht="23.85" hidden="false" customHeight="false" outlineLevel="0" collapsed="false">
      <c r="A10" s="6" t="n">
        <v>5</v>
      </c>
      <c r="B10" s="7" t="n">
        <f aca="false">$B$3+7*(A10-1)</f>
        <v>46237</v>
      </c>
      <c r="C10" s="7" t="n">
        <f aca="false">B10+6</f>
        <v>46243</v>
      </c>
      <c r="D10" s="6" t="s">
        <v>32</v>
      </c>
      <c r="E10" s="6" t="s">
        <v>33</v>
      </c>
      <c r="F10" s="6" t="s">
        <v>34</v>
      </c>
      <c r="G10" s="6" t="s">
        <v>27</v>
      </c>
      <c r="H10" s="8" t="s">
        <v>16</v>
      </c>
      <c r="I10" s="6" t="s">
        <v>35</v>
      </c>
    </row>
    <row r="11" customFormat="false" ht="23.85" hidden="false" customHeight="false" outlineLevel="0" collapsed="false">
      <c r="A11" s="9" t="n">
        <v>6</v>
      </c>
      <c r="B11" s="10" t="n">
        <f aca="false">$B$3+7*(A11-1)</f>
        <v>46244</v>
      </c>
      <c r="C11" s="10" t="n">
        <f aca="false">B11+6</f>
        <v>46250</v>
      </c>
      <c r="D11" s="9" t="s">
        <v>36</v>
      </c>
      <c r="E11" s="9" t="s">
        <v>37</v>
      </c>
      <c r="F11" s="9" t="s">
        <v>38</v>
      </c>
      <c r="G11" s="9" t="s">
        <v>36</v>
      </c>
      <c r="H11" s="11" t="s">
        <v>22</v>
      </c>
      <c r="I11" s="9" t="s">
        <v>39</v>
      </c>
    </row>
    <row r="12" customFormat="false" ht="23.85" hidden="false" customHeight="false" outlineLevel="0" collapsed="false">
      <c r="A12" s="6" t="n">
        <v>7</v>
      </c>
      <c r="B12" s="7" t="n">
        <f aca="false">$B$3+7*(A12-1)</f>
        <v>46251</v>
      </c>
      <c r="C12" s="7" t="n">
        <f aca="false">B12+6</f>
        <v>46257</v>
      </c>
      <c r="D12" s="6" t="s">
        <v>40</v>
      </c>
      <c r="E12" s="6" t="s">
        <v>41</v>
      </c>
      <c r="F12" s="6" t="s">
        <v>42</v>
      </c>
      <c r="G12" s="6" t="s">
        <v>27</v>
      </c>
      <c r="H12" s="8" t="s">
        <v>43</v>
      </c>
      <c r="I12" s="6"/>
    </row>
    <row r="13" customFormat="false" ht="23.85" hidden="false" customHeight="false" outlineLevel="0" collapsed="false">
      <c r="A13" s="9" t="n">
        <v>8</v>
      </c>
      <c r="B13" s="10" t="n">
        <f aca="false">$B$3+7*(A13-1)</f>
        <v>46258</v>
      </c>
      <c r="C13" s="10" t="n">
        <f aca="false">B13+6</f>
        <v>46264</v>
      </c>
      <c r="D13" s="9" t="s">
        <v>44</v>
      </c>
      <c r="E13" s="9" t="s">
        <v>41</v>
      </c>
      <c r="F13" s="9" t="s">
        <v>45</v>
      </c>
      <c r="G13" s="9" t="s">
        <v>46</v>
      </c>
      <c r="H13" s="11" t="s">
        <v>43</v>
      </c>
      <c r="I13" s="9"/>
    </row>
    <row r="14" customFormat="false" ht="15" hidden="false" customHeight="false" outlineLevel="0" collapsed="false">
      <c r="A14" s="6" t="n">
        <v>9</v>
      </c>
      <c r="B14" s="7" t="n">
        <f aca="false">$B$3+7*(A14-1)</f>
        <v>46265</v>
      </c>
      <c r="C14" s="7" t="n">
        <f aca="false">B14+6</f>
        <v>46271</v>
      </c>
      <c r="D14" s="6" t="s">
        <v>47</v>
      </c>
      <c r="E14" s="6" t="s">
        <v>41</v>
      </c>
      <c r="F14" s="6" t="s">
        <v>48</v>
      </c>
      <c r="G14" s="6" t="s">
        <v>49</v>
      </c>
      <c r="H14" s="8" t="s">
        <v>43</v>
      </c>
      <c r="I14" s="6"/>
    </row>
    <row r="15" customFormat="false" ht="15" hidden="false" customHeight="false" outlineLevel="0" collapsed="false">
      <c r="A15" s="9" t="n">
        <v>10</v>
      </c>
      <c r="B15" s="10" t="n">
        <f aca="false">$B$3+7*(A15-1)</f>
        <v>46272</v>
      </c>
      <c r="C15" s="10" t="n">
        <f aca="false">B15+6</f>
        <v>46278</v>
      </c>
      <c r="D15" s="9" t="s">
        <v>50</v>
      </c>
      <c r="E15" s="9" t="s">
        <v>41</v>
      </c>
      <c r="F15" s="9" t="s">
        <v>51</v>
      </c>
      <c r="G15" s="9" t="s">
        <v>52</v>
      </c>
      <c r="H15" s="11" t="s">
        <v>43</v>
      </c>
      <c r="I15" s="9"/>
    </row>
    <row r="17" customFormat="false" ht="15" hidden="false" customHeight="false" outlineLevel="0" collapsed="false">
      <c r="A17" s="2" t="s">
        <v>53</v>
      </c>
      <c r="B17" s="12" t="n">
        <f aca="false">COUNTIF(H6:H15,"Done")</f>
        <v>4</v>
      </c>
    </row>
    <row r="18" customFormat="false" ht="15" hidden="false" customHeight="false" outlineLevel="0" collapsed="false">
      <c r="A18" s="2" t="s">
        <v>22</v>
      </c>
      <c r="B18" s="12" t="n">
        <f aca="false">COUNTIF(H6:H15,"In progress")</f>
        <v>2</v>
      </c>
    </row>
    <row r="19" customFormat="false" ht="15" hidden="false" customHeight="false" outlineLevel="0" collapsed="false">
      <c r="A19" s="2" t="s">
        <v>43</v>
      </c>
      <c r="B19" s="12" t="n">
        <f aca="false">COUNTIF(H6:H15,"Planned")</f>
        <v>4</v>
      </c>
    </row>
  </sheetData>
  <dataValidations count="1">
    <dataValidation allowBlank="false" errorStyle="stop" operator="between" showDropDown="false" showErrorMessage="false" showInputMessage="false" sqref="H6:H15" type="list">
      <formula1>"Done,In progress,Planned"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5" min="4" style="0" width="6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10</v>
      </c>
    </row>
    <row r="4" customFormat="false" ht="23.85" hidden="false" customHeight="false" outlineLevel="0" collapsed="false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16</v>
      </c>
    </row>
    <row r="5" customFormat="false" ht="23.85" hidden="false" customHeight="false" outlineLevel="0" collapsed="false">
      <c r="A5" s="9" t="s">
        <v>65</v>
      </c>
      <c r="B5" s="9" t="s">
        <v>66</v>
      </c>
      <c r="C5" s="9" t="s">
        <v>67</v>
      </c>
      <c r="D5" s="9" t="s">
        <v>68</v>
      </c>
      <c r="E5" s="9" t="s">
        <v>69</v>
      </c>
      <c r="F5" s="9" t="s">
        <v>22</v>
      </c>
    </row>
    <row r="6" customFormat="false" ht="15" hidden="false" customHeight="false" outlineLevel="0" collapsed="false">
      <c r="A6" s="6" t="s">
        <v>70</v>
      </c>
      <c r="B6" s="6" t="s">
        <v>71</v>
      </c>
      <c r="C6" s="6" t="s">
        <v>72</v>
      </c>
      <c r="D6" s="6" t="s">
        <v>73</v>
      </c>
      <c r="E6" s="6" t="s">
        <v>74</v>
      </c>
      <c r="F6" s="6" t="s">
        <v>16</v>
      </c>
    </row>
    <row r="7" customFormat="false" ht="23.85" hidden="false" customHeight="false" outlineLevel="0" collapsed="false">
      <c r="A7" s="9" t="s">
        <v>75</v>
      </c>
      <c r="B7" s="9" t="s">
        <v>76</v>
      </c>
      <c r="C7" s="9" t="s">
        <v>77</v>
      </c>
      <c r="D7" s="9" t="s">
        <v>78</v>
      </c>
      <c r="E7" s="9" t="s">
        <v>79</v>
      </c>
      <c r="F7" s="9" t="s">
        <v>16</v>
      </c>
    </row>
    <row r="8" customFormat="false" ht="23.85" hidden="false" customHeight="false" outlineLevel="0" collapsed="false">
      <c r="A8" s="6" t="s">
        <v>80</v>
      </c>
      <c r="B8" s="6" t="s">
        <v>81</v>
      </c>
      <c r="C8" s="6" t="s">
        <v>82</v>
      </c>
      <c r="D8" s="6" t="s">
        <v>83</v>
      </c>
      <c r="E8" s="6" t="s">
        <v>84</v>
      </c>
      <c r="F8" s="6" t="s">
        <v>16</v>
      </c>
    </row>
    <row r="10" customFormat="false" ht="15" hidden="false" customHeight="false" outlineLevel="0" collapsed="false">
      <c r="A10" s="2" t="s">
        <v>85</v>
      </c>
      <c r="D10" s="12" t="n">
        <f aca="false">6+5+9+11</f>
        <v>31</v>
      </c>
    </row>
    <row r="12" customFormat="false" ht="15" hidden="false" customHeight="false" outlineLevel="0" collapsed="false">
      <c r="A12" s="2" t="s">
        <v>86</v>
      </c>
    </row>
    <row r="13" customFormat="false" ht="15" hidden="false" customHeight="false" outlineLevel="0" collapsed="false">
      <c r="A13" s="5" t="s">
        <v>55</v>
      </c>
      <c r="B13" s="5" t="s">
        <v>57</v>
      </c>
      <c r="C13" s="5" t="s">
        <v>87</v>
      </c>
    </row>
    <row r="14" customFormat="false" ht="15" hidden="false" customHeight="false" outlineLevel="0" collapsed="false">
      <c r="A14" s="6" t="s">
        <v>60</v>
      </c>
      <c r="B14" s="6" t="s">
        <v>88</v>
      </c>
      <c r="C14" s="8" t="n">
        <v>26</v>
      </c>
    </row>
    <row r="15" customFormat="false" ht="15" hidden="false" customHeight="false" outlineLevel="0" collapsed="false">
      <c r="A15" s="9" t="s">
        <v>60</v>
      </c>
      <c r="B15" s="9" t="s">
        <v>89</v>
      </c>
      <c r="C15" s="11" t="n">
        <v>12</v>
      </c>
    </row>
    <row r="16" customFormat="false" ht="15" hidden="false" customHeight="false" outlineLevel="0" collapsed="false">
      <c r="A16" s="6" t="s">
        <v>60</v>
      </c>
      <c r="B16" s="6" t="s">
        <v>90</v>
      </c>
      <c r="C16" s="8" t="n">
        <v>6</v>
      </c>
    </row>
    <row r="17" customFormat="false" ht="15" hidden="false" customHeight="false" outlineLevel="0" collapsed="false">
      <c r="A17" s="9" t="s">
        <v>60</v>
      </c>
      <c r="B17" s="9" t="s">
        <v>91</v>
      </c>
      <c r="C17" s="11" t="n">
        <v>1</v>
      </c>
    </row>
    <row r="18" customFormat="false" ht="15" hidden="false" customHeight="false" outlineLevel="0" collapsed="false">
      <c r="A18" s="6" t="s">
        <v>70</v>
      </c>
      <c r="B18" s="6" t="s">
        <v>72</v>
      </c>
      <c r="C18" s="8" t="n">
        <v>40</v>
      </c>
    </row>
    <row r="19" customFormat="false" ht="15" hidden="false" customHeight="false" outlineLevel="0" collapsed="false">
      <c r="A19" s="9" t="s">
        <v>75</v>
      </c>
      <c r="B19" s="9" t="s">
        <v>77</v>
      </c>
      <c r="C19" s="11" t="n">
        <v>35</v>
      </c>
    </row>
    <row r="20" customFormat="false" ht="15" hidden="false" customHeight="false" outlineLevel="0" collapsed="false">
      <c r="A20" s="6" t="s">
        <v>80</v>
      </c>
      <c r="B20" s="6" t="s">
        <v>92</v>
      </c>
      <c r="C20" s="8" t="n">
        <v>8</v>
      </c>
    </row>
    <row r="21" customFormat="false" ht="15" hidden="false" customHeight="false" outlineLevel="0" collapsed="false">
      <c r="A21" s="9" t="s">
        <v>80</v>
      </c>
      <c r="B21" s="9" t="s">
        <v>93</v>
      </c>
      <c r="C21" s="11" t="n">
        <v>3</v>
      </c>
    </row>
    <row r="22" customFormat="false" ht="15" hidden="false" customHeight="false" outlineLevel="0" collapsed="false">
      <c r="A22" s="6" t="s">
        <v>65</v>
      </c>
      <c r="B22" s="6" t="s">
        <v>90</v>
      </c>
      <c r="C22" s="8" t="n">
        <v>2</v>
      </c>
    </row>
    <row r="23" customFormat="false" ht="15" hidden="false" customHeight="false" outlineLevel="0" collapsed="false">
      <c r="A23" s="9" t="s">
        <v>65</v>
      </c>
      <c r="B23" s="9" t="s">
        <v>89</v>
      </c>
      <c r="C23" s="11" t="n">
        <v>1</v>
      </c>
    </row>
    <row r="24" customFormat="false" ht="15" hidden="false" customHeight="false" outlineLevel="0" collapsed="false">
      <c r="A24" s="2" t="s">
        <v>94</v>
      </c>
      <c r="C24" s="2" t="n">
        <f aca="false">SUM(C14:C23)</f>
        <v>134</v>
      </c>
    </row>
    <row r="26" customFormat="false" ht="15" hidden="false" customHeight="false" outlineLevel="0" collapsed="false">
      <c r="A26" s="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6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5" t="s">
        <v>97</v>
      </c>
      <c r="B3" s="5" t="s">
        <v>98</v>
      </c>
      <c r="C3" s="5" t="s">
        <v>9</v>
      </c>
      <c r="D3" s="5" t="s">
        <v>3</v>
      </c>
      <c r="E3" s="5" t="s">
        <v>11</v>
      </c>
      <c r="F3" s="5" t="s">
        <v>10</v>
      </c>
    </row>
    <row r="4" customFormat="false" ht="15" hidden="false" customHeight="false" outlineLevel="0" collapsed="false">
      <c r="A4" s="6" t="n">
        <v>1</v>
      </c>
      <c r="B4" s="6" t="s">
        <v>99</v>
      </c>
      <c r="C4" s="6" t="s">
        <v>100</v>
      </c>
      <c r="D4" s="6" t="n">
        <v>1</v>
      </c>
      <c r="E4" s="6" t="s">
        <v>101</v>
      </c>
      <c r="F4" s="6" t="s">
        <v>16</v>
      </c>
    </row>
    <row r="5" customFormat="false" ht="15" hidden="false" customHeight="false" outlineLevel="0" collapsed="false">
      <c r="A5" s="9" t="n">
        <v>2</v>
      </c>
      <c r="B5" s="9" t="s">
        <v>102</v>
      </c>
      <c r="C5" s="9" t="s">
        <v>27</v>
      </c>
      <c r="D5" s="9" t="n">
        <v>1</v>
      </c>
      <c r="E5" s="9" t="s">
        <v>103</v>
      </c>
      <c r="F5" s="9" t="s">
        <v>16</v>
      </c>
    </row>
    <row r="6" customFormat="false" ht="15" hidden="false" customHeight="false" outlineLevel="0" collapsed="false">
      <c r="A6" s="6" t="n">
        <v>3</v>
      </c>
      <c r="B6" s="6" t="s">
        <v>104</v>
      </c>
      <c r="C6" s="6" t="s">
        <v>105</v>
      </c>
      <c r="D6" s="6" t="n">
        <v>1</v>
      </c>
      <c r="E6" s="6" t="s">
        <v>106</v>
      </c>
      <c r="F6" s="6" t="s">
        <v>16</v>
      </c>
    </row>
    <row r="7" customFormat="false" ht="15" hidden="false" customHeight="false" outlineLevel="0" collapsed="false">
      <c r="A7" s="9" t="n">
        <v>4</v>
      </c>
      <c r="B7" s="9" t="s">
        <v>107</v>
      </c>
      <c r="C7" s="9" t="s">
        <v>108</v>
      </c>
      <c r="D7" s="9" t="n">
        <v>1</v>
      </c>
      <c r="E7" s="9" t="s">
        <v>109</v>
      </c>
      <c r="F7" s="9" t="s">
        <v>16</v>
      </c>
    </row>
    <row r="8" customFormat="false" ht="15" hidden="false" customHeight="false" outlineLevel="0" collapsed="false">
      <c r="A8" s="6" t="n">
        <v>5</v>
      </c>
      <c r="B8" s="6" t="s">
        <v>110</v>
      </c>
      <c r="C8" s="6" t="s">
        <v>27</v>
      </c>
      <c r="D8" s="6" t="n">
        <v>1</v>
      </c>
      <c r="E8" s="6" t="s">
        <v>111</v>
      </c>
      <c r="F8" s="6" t="s">
        <v>16</v>
      </c>
    </row>
    <row r="9" customFormat="false" ht="15" hidden="false" customHeight="false" outlineLevel="0" collapsed="false">
      <c r="A9" s="9" t="n">
        <v>6</v>
      </c>
      <c r="B9" s="9" t="s">
        <v>112</v>
      </c>
      <c r="C9" s="9" t="s">
        <v>27</v>
      </c>
      <c r="D9" s="9" t="n">
        <v>2</v>
      </c>
      <c r="E9" s="9" t="s">
        <v>113</v>
      </c>
      <c r="F9" s="9" t="s">
        <v>16</v>
      </c>
    </row>
    <row r="10" customFormat="false" ht="15" hidden="false" customHeight="false" outlineLevel="0" collapsed="false">
      <c r="A10" s="6" t="n">
        <v>7</v>
      </c>
      <c r="B10" s="6" t="s">
        <v>114</v>
      </c>
      <c r="C10" s="6" t="s">
        <v>27</v>
      </c>
      <c r="D10" s="6" t="n">
        <v>2</v>
      </c>
      <c r="E10" s="6" t="s">
        <v>115</v>
      </c>
      <c r="F10" s="6" t="s">
        <v>16</v>
      </c>
    </row>
    <row r="11" customFormat="false" ht="15" hidden="false" customHeight="false" outlineLevel="0" collapsed="false">
      <c r="A11" s="9" t="n">
        <v>8</v>
      </c>
      <c r="B11" s="9" t="s">
        <v>116</v>
      </c>
      <c r="C11" s="9" t="s">
        <v>100</v>
      </c>
      <c r="D11" s="9" t="n">
        <v>2</v>
      </c>
      <c r="E11" s="9" t="s">
        <v>117</v>
      </c>
      <c r="F11" s="9" t="s">
        <v>16</v>
      </c>
    </row>
    <row r="12" customFormat="false" ht="15" hidden="false" customHeight="false" outlineLevel="0" collapsed="false">
      <c r="A12" s="6" t="n">
        <v>9</v>
      </c>
      <c r="B12" s="6" t="s">
        <v>118</v>
      </c>
      <c r="C12" s="6" t="s">
        <v>119</v>
      </c>
      <c r="D12" s="6" t="n">
        <v>2</v>
      </c>
      <c r="E12" s="6" t="s">
        <v>120</v>
      </c>
      <c r="F12" s="6" t="s">
        <v>16</v>
      </c>
    </row>
    <row r="13" customFormat="false" ht="15" hidden="false" customHeight="false" outlineLevel="0" collapsed="false">
      <c r="A13" s="9" t="n">
        <v>10</v>
      </c>
      <c r="B13" s="9" t="s">
        <v>121</v>
      </c>
      <c r="C13" s="9" t="s">
        <v>36</v>
      </c>
      <c r="D13" s="9" t="n">
        <v>6</v>
      </c>
      <c r="E13" s="9" t="s">
        <v>122</v>
      </c>
      <c r="F13" s="9" t="s">
        <v>16</v>
      </c>
    </row>
    <row r="14" customFormat="false" ht="15" hidden="false" customHeight="false" outlineLevel="0" collapsed="false">
      <c r="A14" s="6" t="n">
        <v>11</v>
      </c>
      <c r="B14" s="6" t="s">
        <v>123</v>
      </c>
      <c r="C14" s="6" t="s">
        <v>100</v>
      </c>
      <c r="D14" s="6" t="n">
        <v>1</v>
      </c>
      <c r="E14" s="6" t="s">
        <v>124</v>
      </c>
      <c r="F14" s="6" t="s">
        <v>16</v>
      </c>
    </row>
    <row r="15" customFormat="false" ht="15" hidden="false" customHeight="false" outlineLevel="0" collapsed="false">
      <c r="A15" s="9" t="n">
        <v>12</v>
      </c>
      <c r="B15" s="9" t="s">
        <v>125</v>
      </c>
      <c r="C15" s="9" t="s">
        <v>100</v>
      </c>
      <c r="D15" s="9" t="n">
        <v>1</v>
      </c>
      <c r="E15" s="9" t="s">
        <v>126</v>
      </c>
      <c r="F15" s="9" t="s">
        <v>16</v>
      </c>
    </row>
    <row r="16" customFormat="false" ht="15" hidden="false" customHeight="false" outlineLevel="0" collapsed="false">
      <c r="A16" s="6" t="n">
        <v>13</v>
      </c>
      <c r="B16" s="6" t="s">
        <v>127</v>
      </c>
      <c r="C16" s="6" t="s">
        <v>100</v>
      </c>
      <c r="D16" s="6" t="n">
        <v>1</v>
      </c>
      <c r="E16" s="6" t="s">
        <v>128</v>
      </c>
      <c r="F16" s="6" t="s">
        <v>16</v>
      </c>
    </row>
    <row r="17" customFormat="false" ht="15" hidden="false" customHeight="false" outlineLevel="0" collapsed="false">
      <c r="A17" s="9" t="n">
        <v>14</v>
      </c>
      <c r="B17" s="9" t="s">
        <v>129</v>
      </c>
      <c r="C17" s="9" t="s">
        <v>36</v>
      </c>
      <c r="D17" s="9" t="n">
        <v>6</v>
      </c>
      <c r="E17" s="9" t="s">
        <v>130</v>
      </c>
      <c r="F17" s="9" t="s">
        <v>131</v>
      </c>
    </row>
    <row r="18" customFormat="false" ht="15" hidden="false" customHeight="false" outlineLevel="0" collapsed="false">
      <c r="A18" s="6" t="n">
        <v>15</v>
      </c>
      <c r="B18" s="6" t="s">
        <v>132</v>
      </c>
      <c r="C18" s="6" t="s">
        <v>27</v>
      </c>
      <c r="D18" s="6" t="n">
        <v>5</v>
      </c>
      <c r="E18" s="6" t="s">
        <v>133</v>
      </c>
      <c r="F18" s="6" t="s">
        <v>16</v>
      </c>
    </row>
    <row r="19" customFormat="false" ht="15" hidden="false" customHeight="false" outlineLevel="0" collapsed="false">
      <c r="A19" s="9" t="n">
        <v>16</v>
      </c>
      <c r="B19" s="9" t="s">
        <v>134</v>
      </c>
      <c r="C19" s="9" t="s">
        <v>27</v>
      </c>
      <c r="D19" s="9" t="n">
        <v>5</v>
      </c>
      <c r="E19" s="9" t="s">
        <v>135</v>
      </c>
      <c r="F19" s="9" t="s">
        <v>16</v>
      </c>
    </row>
    <row r="20" customFormat="false" ht="15" hidden="false" customHeight="false" outlineLevel="0" collapsed="false">
      <c r="A20" s="6" t="n">
        <v>17</v>
      </c>
      <c r="B20" s="6" t="s">
        <v>136</v>
      </c>
      <c r="C20" s="6" t="s">
        <v>27</v>
      </c>
      <c r="D20" s="6" t="n">
        <v>4</v>
      </c>
      <c r="E20" s="6" t="s">
        <v>137</v>
      </c>
      <c r="F20" s="6" t="s">
        <v>16</v>
      </c>
    </row>
    <row r="21" customFormat="false" ht="15" hidden="false" customHeight="false" outlineLevel="0" collapsed="false">
      <c r="A21" s="9" t="n">
        <v>18</v>
      </c>
      <c r="B21" s="9" t="s">
        <v>138</v>
      </c>
      <c r="C21" s="9" t="s">
        <v>27</v>
      </c>
      <c r="D21" s="9" t="n">
        <v>3</v>
      </c>
      <c r="E21" s="9" t="s">
        <v>139</v>
      </c>
      <c r="F21" s="9" t="s">
        <v>16</v>
      </c>
    </row>
    <row r="22" customFormat="false" ht="15" hidden="false" customHeight="false" outlineLevel="0" collapsed="false">
      <c r="A22" s="6" t="n">
        <v>19</v>
      </c>
      <c r="B22" s="6" t="s">
        <v>140</v>
      </c>
      <c r="C22" s="6" t="s">
        <v>27</v>
      </c>
      <c r="D22" s="6" t="n">
        <v>2</v>
      </c>
      <c r="E22" s="6" t="s">
        <v>141</v>
      </c>
      <c r="F22" s="6" t="s">
        <v>22</v>
      </c>
    </row>
    <row r="23" customFormat="false" ht="15" hidden="false" customHeight="false" outlineLevel="0" collapsed="false">
      <c r="A23" s="9" t="n">
        <v>20</v>
      </c>
      <c r="B23" s="9" t="s">
        <v>142</v>
      </c>
      <c r="C23" s="9" t="s">
        <v>36</v>
      </c>
      <c r="D23" s="9" t="n">
        <v>6</v>
      </c>
      <c r="E23" s="9" t="s">
        <v>143</v>
      </c>
      <c r="F23" s="9" t="s">
        <v>22</v>
      </c>
    </row>
    <row r="25" customFormat="false" ht="15" hidden="false" customHeight="false" outlineLevel="0" collapsed="false">
      <c r="B25" s="2" t="s">
        <v>16</v>
      </c>
      <c r="C25" s="12" t="n">
        <f aca="false">COUNTIF(F4:F23,"Done")</f>
        <v>17</v>
      </c>
    </row>
    <row r="26" customFormat="false" ht="15" hidden="false" customHeight="false" outlineLevel="0" collapsed="false">
      <c r="B26" s="2" t="s">
        <v>131</v>
      </c>
      <c r="C26" s="12" t="n">
        <f aca="false">COUNTIF(F4:F23,"Made, not committed")</f>
        <v>1</v>
      </c>
    </row>
    <row r="27" customFormat="false" ht="15" hidden="false" customHeight="false" outlineLevel="0" collapsed="false">
      <c r="B27" s="2" t="s">
        <v>22</v>
      </c>
      <c r="C27" s="12" t="n">
        <f aca="false">COUNTIF(F4:F23,"In progress")</f>
        <v>2</v>
      </c>
    </row>
    <row r="28" customFormat="false" ht="15" hidden="false" customHeight="false" outlineLevel="0" collapsed="false">
      <c r="B28" s="2" t="s">
        <v>144</v>
      </c>
      <c r="C28" s="12" t="n">
        <f aca="false">COUNTIF(F4:F23,"Pending")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145</v>
      </c>
    </row>
    <row r="3" customFormat="false" ht="15" hidden="false" customHeight="false" outlineLevel="0" collapsed="false">
      <c r="A3" s="5" t="s">
        <v>146</v>
      </c>
      <c r="B3" s="5" t="s">
        <v>147</v>
      </c>
      <c r="C3" s="5" t="s">
        <v>10</v>
      </c>
      <c r="D3" s="5" t="s">
        <v>148</v>
      </c>
    </row>
    <row r="4" customFormat="false" ht="15" hidden="false" customHeight="false" outlineLevel="0" collapsed="false">
      <c r="A4" s="6" t="s">
        <v>105</v>
      </c>
      <c r="B4" s="6" t="n">
        <v>5</v>
      </c>
      <c r="C4" s="8" t="s">
        <v>16</v>
      </c>
      <c r="D4" s="6" t="s">
        <v>149</v>
      </c>
    </row>
    <row r="5" customFormat="false" ht="15" hidden="false" customHeight="false" outlineLevel="0" collapsed="false">
      <c r="A5" s="9" t="s">
        <v>108</v>
      </c>
      <c r="B5" s="9" t="n">
        <v>10</v>
      </c>
      <c r="C5" s="11" t="s">
        <v>150</v>
      </c>
      <c r="D5" s="9" t="s">
        <v>151</v>
      </c>
    </row>
    <row r="6" customFormat="false" ht="15" hidden="false" customHeight="false" outlineLevel="0" collapsed="false">
      <c r="A6" s="6" t="s">
        <v>152</v>
      </c>
      <c r="B6" s="6" t="n">
        <v>10</v>
      </c>
      <c r="C6" s="8" t="s">
        <v>16</v>
      </c>
      <c r="D6" s="6" t="s">
        <v>153</v>
      </c>
    </row>
    <row r="7" customFormat="false" ht="23.85" hidden="false" customHeight="false" outlineLevel="0" collapsed="false">
      <c r="A7" s="9" t="s">
        <v>154</v>
      </c>
      <c r="B7" s="9" t="n">
        <v>25</v>
      </c>
      <c r="C7" s="11" t="s">
        <v>155</v>
      </c>
      <c r="D7" s="9" t="s">
        <v>156</v>
      </c>
    </row>
    <row r="8" customFormat="false" ht="23.85" hidden="false" customHeight="false" outlineLevel="0" collapsed="false">
      <c r="A8" s="6" t="s">
        <v>46</v>
      </c>
      <c r="B8" s="6" t="n">
        <v>20</v>
      </c>
      <c r="C8" s="8" t="s">
        <v>155</v>
      </c>
      <c r="D8" s="6" t="s">
        <v>157</v>
      </c>
    </row>
    <row r="9" customFormat="false" ht="15" hidden="false" customHeight="false" outlineLevel="0" collapsed="false">
      <c r="A9" s="9" t="s">
        <v>36</v>
      </c>
      <c r="B9" s="9" t="n">
        <v>10</v>
      </c>
      <c r="C9" s="11" t="s">
        <v>155</v>
      </c>
      <c r="D9" s="9" t="s">
        <v>158</v>
      </c>
    </row>
    <row r="10" customFormat="false" ht="15" hidden="false" customHeight="false" outlineLevel="0" collapsed="false">
      <c r="A10" s="6" t="s">
        <v>159</v>
      </c>
      <c r="B10" s="6" t="n">
        <v>10</v>
      </c>
      <c r="C10" s="8" t="s">
        <v>150</v>
      </c>
      <c r="D10" s="6"/>
    </row>
    <row r="11" customFormat="false" ht="15" hidden="false" customHeight="false" outlineLevel="0" collapsed="false">
      <c r="A11" s="9" t="s">
        <v>160</v>
      </c>
      <c r="B11" s="9" t="n">
        <v>10</v>
      </c>
      <c r="C11" s="11" t="s">
        <v>150</v>
      </c>
      <c r="D11" s="9"/>
    </row>
    <row r="13" customFormat="false" ht="15" hidden="false" customHeight="false" outlineLevel="0" collapsed="false">
      <c r="A13" s="2" t="s">
        <v>161</v>
      </c>
      <c r="B13" s="12" t="n">
        <f aca="false">SUM(B4:B11)</f>
        <v>100</v>
      </c>
    </row>
    <row r="14" customFormat="false" ht="15" hidden="false" customHeight="false" outlineLevel="0" collapsed="false">
      <c r="A14" s="2" t="s">
        <v>162</v>
      </c>
      <c r="B14" s="12" t="n">
        <f aca="false">SUMIF(C4:C11,"&lt;&gt;Not started",B4:B11)</f>
        <v>70</v>
      </c>
    </row>
    <row r="15" customFormat="false" ht="15" hidden="false" customHeight="false" outlineLevel="0" collapsed="false">
      <c r="A15" s="2" t="s">
        <v>163</v>
      </c>
      <c r="B15" s="13" t="n">
        <f aca="false">B14/B13</f>
        <v>0.7</v>
      </c>
    </row>
  </sheetData>
  <dataValidations count="1">
    <dataValidation allowBlank="false" errorStyle="stop" operator="between" showDropDown="false" showErrorMessage="false" showInputMessage="false" sqref="C4:C11" type="list">
      <formula1>"Done,Started,Not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2026-10-11T12:05:08Z</dcterms:created>
  <dc:creator>openpyxl</dc:creator>
  <dc:description/>
  <dc:language>en-US</dc:language>
  <cp:lastModifiedBy/>
  <dcterms:modified xsi:type="dcterms:W3CDTF">2026-10-11T12:05:08Z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